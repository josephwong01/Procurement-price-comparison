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e2c189734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比价表" sheetId="1" r:id="R9b7df493bf3e4f67"/>
    <x:sheet xmlns:r="http://schemas.openxmlformats.org/officeDocument/2006/relationships" name="审核说明" sheetId="2" r:id="R56fdad424004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¥#,##0"/>
    <x:numFmt numFmtId="202" formatCode="¥#,##0.00"/>
    <x:numFmt numFmtId="203" formatCode="0.0"/>
    <x:numFmt numFmtId="204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204" fontId="0" fillId="0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b5fbfb4d24769" /><Relationship Type="http://schemas.openxmlformats.org/officeDocument/2006/relationships/theme" Target="/xl/theme/theme1.xml" Id="R8f677b8096c6481d" /><Relationship Type="http://schemas.openxmlformats.org/officeDocument/2006/relationships/sharedStrings" Target="/xl/sharedStrings.xml" Id="R0b34668fe01d429f" /><Relationship Type="http://schemas.openxmlformats.org/officeDocument/2006/relationships/worksheet" Target="/xl/worksheets/sheet1.xml" Id="R9b7df493bf3e4f67" /><Relationship Type="http://schemas.openxmlformats.org/officeDocument/2006/relationships/worksheet" Target="/xl/worksheets/sheet2.xml" Id="R56fdad4240044302" /><Relationship Type="http://schemas.microsoft.com/office/2017/10/relationships/person" Target="/xl/persons/person.xml" Id="Rcf4bb771fa864bf2" /></Relationships>
</file>

<file path=xl/persons/person.xml><?xml version="1.0" encoding="utf-8"?>
<xltc:personList xmlns:xltc="http://schemas.microsoft.com/office/spreadsheetml/2018/threadedcomments">
  <xltc:person displayName="User" id="{2CBDAB53-ECD7-44DD-BEB0-DE411914762F}"/>
</xltc:personList>
</file>

<file path=xl/tables/table1.xml><?xml version="1.0" encoding="utf-8"?>
<x:table xmlns:x="http://schemas.openxmlformats.org/spreadsheetml/2006/main" id="1" name="CoffeeComparisonTable" displayName="CoffeeComparisonTable" ref="A6:N20" headerRowCount="1" totalsRowCount="0" totalsRowShown="0">
  <x:autoFilter ref="A6:N20"/>
  <x:tableColumns count="14">
    <x:tableColumn id="1" name="状态"/>
    <x:tableColumn id="2" name="排名"/>
    <x:tableColumn id="3" name="平台"/>
    <x:tableColumn id="4" name="产品"/>
    <x:tableColumn id="5" name="SKU/规格"/>
    <x:tableColumn id="6" name="设备价(CNY)"/>
    <x:tableColumn id="7" name="原始价格"/>
    <x:tableColumn id="8" name="商家评分/信号"/>
    <x:tableColumn id="9" name="主要优点"/>
    <x:tableColumn id="10" name="主要不足/排除原因"/>
    <x:tableColumn id="11" name="综合分"/>
    <x:tableColumn id="12" name="价格状态"/>
    <x:tableColumn id="13" name="采集日期"/>
    <x:tableColumn id="14" name="商品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37eba67d049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4" hidden="0" customWidth="1"/>
    <x:col min="4" max="4" width="28" hidden="0" customWidth="1"/>
    <x:col min="5" max="5" width="24" hidden="0" customWidth="1"/>
    <x:col min="6" max="6" width="14" hidden="0" customWidth="1"/>
    <x:col min="7" max="7" width="20" hidden="0" customWidth="1"/>
    <x:col min="8" max="8" width="34" hidden="0" customWidth="1"/>
    <x:col min="9" max="9" width="32" hidden="0" customWidth="1"/>
    <x:col min="10" max="10" width="38" hidden="0" customWidth="1"/>
    <x:col min="11" max="11" width="10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咖啡饮料一体机采购比价｜主表 + 排除项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口径：1台；设备价上限¥10,000、目标约¥5,000；中国平台先送深圳；中国至德国运输不计入本轮设备价排名。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9" t="str">
        <x:v>记录数</x:v>
      </x:c>
      <x:c r="B3" s="11" t="n">
        <x:f>COUNTA(A7:A20)</x:f>
        <x:v>14</x:v>
      </x:c>
      <x:c r="C3" s="12"/>
      <x:c r="D3" s="13" t="str">
        <x:v>入围/备选</x:v>
      </x:c>
      <x:c r="E3" s="11" t="n">
        <x:f>COUNTA(A7:A20)-COUNTIF(A7:A20,"排除")</x:f>
        <x:v>10</x:v>
      </x:c>
      <x:c r="G3" s="9" t="str">
        <x:v>排除</x:v>
      </x:c>
      <x:c r="H3" s="11" t="n">
        <x:f>COUNTIF(A7:A20,"排除")</x:f>
        <x:v>4</x:v>
      </x:c>
      <x:c r="J3" s="9" t="str">
        <x:v>最低已核设备价</x:v>
      </x:c>
      <x:c r="K3" s="14" t="n">
        <x:f>MINIFS(F7:F20,A7:A20,"&lt;&gt;排除",F7:F20,"&gt;0")</x:f>
        <x:v>1079</x:v>
      </x:c>
    </x:row>
    <x:row r="5" ht="30" customHeight="1">
      <x:c r="A5" s="66" t="str">
        <x:v>说明：2026-08-28 Apify Token官方预检HTTP 200；淘宝主搜索成功。唐雀、西堤岛、妙雀已锁定详情SKU；斯麦龙和松崎京选因社区Actor免费运行次数耗尽待刷新。所有价格均非供应商正式报价。</x:v>
      </x:c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</x:row>
    <x:row r="6">
      <x:c r="A6" s="29" t="str">
        <x:v>状态</x:v>
      </x:c>
      <x:c r="B6" s="30" t="str">
        <x:v>排名</x:v>
      </x:c>
      <x:c r="C6" s="30" t="str">
        <x:v>平台</x:v>
      </x:c>
      <x:c r="D6" s="30" t="str">
        <x:v>产品</x:v>
      </x:c>
      <x:c r="E6" s="30" t="str">
        <x:v>SKU/规格</x:v>
      </x:c>
      <x:c r="F6" s="30" t="str">
        <x:v>设备价(CNY)</x:v>
      </x:c>
      <x:c r="G6" s="30" t="str">
        <x:v>原始价格</x:v>
      </x:c>
      <x:c r="H6" s="30" t="str">
        <x:v>商家评分/信号</x:v>
      </x:c>
      <x:c r="I6" s="30" t="str">
        <x:v>主要优点</x:v>
      </x:c>
      <x:c r="J6" s="30" t="str">
        <x:v>主要不足/排除原因</x:v>
      </x:c>
      <x:c r="K6" s="30" t="str">
        <x:v>综合分</x:v>
      </x:c>
      <x:c r="L6" s="30" t="str">
        <x:v>价格状态</x:v>
      </x:c>
      <x:c r="M6" s="30" t="str">
        <x:v>采集日期</x:v>
      </x:c>
      <x:c r="N6" s="31" t="str">
        <x:v>商品链接</x:v>
      </x:c>
    </x:row>
    <x:row r="7" ht="62" customHeight="1">
      <x:c r="A7" s="51" t="str">
        <x:v>入围</x:v>
      </x:c>
      <x:c r="B7" s="51" t="n">
        <x:v>1</x:v>
      </x:c>
      <x:c r="C7" s="51" t="str">
        <x:v>京东</x:v>
      </x:c>
      <x:c r="D7" s="51" t="str">
        <x:v>妙雀咖啡饮料机</x:v>
      </x:c>
      <x:c r="E7" s="51" t="str">
        <x:v>2冷2热+冷热水 / 台式</x:v>
      </x:c>
      <x:c r="F7" s="52" t="n">
        <x:v>1480</x:v>
      </x:c>
      <x:c r="G7" s="51" t="str">
        <x:v>页面价¥1,680；到手¥1,480</x:v>
      </x:c>
      <x:c r="H7" s="51" t="str">
        <x:v>官方旗舰店；500+评价；好评100%；深圳包邮</x:v>
      </x:c>
      <x:c r="I7" s="51" t="str">
        <x:v>实时SKU价、冷热多饮品、两年质保</x:v>
      </x:c>
      <x:c r="J7" s="51" t="str">
        <x:v>230V/50Hz、额定功率和桶装水待确认</x:v>
      </x:c>
      <x:c r="K7" s="53" t="n">
        <x:v>82</x:v>
      </x:c>
      <x:c r="L7" s="51" t="str">
        <x:v>实时页面观察</x:v>
      </x:c>
      <x:c r="M7" s="54" t="str">
        <x:v>2026-08-27</x:v>
      </x:c>
      <x:c r="N7" s="51" t="e">
        <x:f>HYPERLINK("https://item.jd.com/10125691765315.html","打开商品")</x:f>
        <x:v>HYPERLINK is not implemented. linkLocation=https://item.jd.com/10125691765315.html, friendlyName=打开商品</x:v>
      </x:c>
    </x:row>
    <x:row r="8" ht="62" customHeight="1">
      <x:c r="A8" s="55" t="str">
        <x:v>入围</x:v>
      </x:c>
      <x:c r="B8" s="55" t="n">
        <x:v>2</x:v>
      </x:c>
      <x:c r="C8" s="55" t="str">
        <x:v>淘宝</x:v>
      </x:c>
      <x:c r="D8" s="55" t="str">
        <x:v>西堤岛X-41SCW</x:v>
      </x:c>
      <x:c r="E8" s="55" t="str">
        <x:v>SKU 4179293628127｜3种冷热饮+冷热水｜台式电子制冷</x:v>
      </x:c>
      <x:c r="F8" s="56" t="n">
        <x:v>2130</x:v>
      </x:c>
      <x:c r="G8" s="55" t="str">
        <x:v>¥2,130</x:v>
      </x:c>
      <x:c r="H8" s="55" t="str">
        <x:v>西堤岛设备品牌店；累计售300；库存200；2年质保</x:v>
      </x:c>
      <x:c r="I8" s="55" t="str">
        <x:v>冷热多饮品、1600W、台式、详情SKU已锁定</x:v>
      </x:c>
      <x:c r="J8" s="55" t="str">
        <x:v>50Hz、供水方式和德国合规待确认</x:v>
      </x:c>
      <x:c r="K8" s="57" t="n">
        <x:v>81</x:v>
      </x:c>
      <x:c r="L8" s="55" t="str">
        <x:v>API详情已锁SKU</x:v>
      </x:c>
      <x:c r="M8" s="58" t="str">
        <x:v>2026-08-28</x:v>
      </x:c>
      <x:c r="N8" s="55" t="e">
        <x:f>HYPERLINK("https://item.taobao.com/item.htm?id=599177481318","打开商品")</x:f>
        <x:v>HYPERLINK is not implemented. linkLocation=https://item.taobao.com/item.htm?id=599177481318, friendlyName=打开商品</x:v>
      </x:c>
    </x:row>
    <x:row r="9" ht="62" customHeight="1">
      <x:c r="A9" s="55" t="str">
        <x:v>入围</x:v>
      </x:c>
      <x:c r="B9" s="55" t="n">
        <x:v>3</x:v>
      </x:c>
      <x:c r="C9" s="55" t="str">
        <x:v>淘宝</x:v>
      </x:c>
      <x:c r="D9" s="55" t="str">
        <x:v>唐雀TQ400</x:v>
      </x:c>
      <x:c r="E9" s="55" t="str">
        <x:v>SKU 5262229818107｜台式3冷3热+冰热水</x:v>
      </x:c>
      <x:c r="F9" s="56" t="n">
        <x:v>2380</x:v>
      </x:c>
      <x:c r="G9" s="55" t="str">
        <x:v>¥2,380</x:v>
      </x:c>
      <x:c r="H9" s="55" t="str">
        <x:v>唐雀旗舰店；累计售200；库存86；12个月保修</x:v>
      </x:c>
      <x:c r="I9" s="55" t="str">
        <x:v>3冷3热、220V、1750W、详情SKU已锁定</x:v>
      </x:c>
      <x:c r="J9" s="55" t="str">
        <x:v>50Hz、供水方式和德国合规待确认</x:v>
      </x:c>
      <x:c r="K9" s="57" t="n">
        <x:v>79.6</x:v>
      </x:c>
      <x:c r="L9" s="55" t="str">
        <x:v>API详情已锁SKU</x:v>
      </x:c>
      <x:c r="M9" s="58" t="str">
        <x:v>2026-08-28</x:v>
      </x:c>
      <x:c r="N9" s="55" t="e">
        <x:f>HYPERLINK("https://item.taobao.com/item.htm?id=618084462338","打开商品")</x:f>
        <x:v>HYPERLINK is not implemented. linkLocation=https://item.taobao.com/item.htm?id=618084462338, friendlyName=打开商品</x:v>
      </x:c>
    </x:row>
    <x:row r="10" ht="62" customHeight="1">
      <x:c r="A10" s="55" t="str">
        <x:v>入围</x:v>
      </x:c>
      <x:c r="B10" s="55" t="n">
        <x:v>4</x:v>
      </x:c>
      <x:c r="C10" s="55" t="str">
        <x:v>淘宝</x:v>
      </x:c>
      <x:c r="D10" s="55" t="str">
        <x:v>妙雀台式3冷3热饮料机</x:v>
      </x:c>
      <x:c r="E10" s="55" t="str">
        <x:v>SKU 4075962964092｜3冷3热+冷热水 / 电子制冷</x:v>
      </x:c>
      <x:c r="F10" s="56" t="n">
        <x:v>2480</x:v>
      </x:c>
      <x:c r="G10" s="55" t="str">
        <x:v>¥2,480</x:v>
      </x:c>
      <x:c r="H10" s="55" t="str">
        <x:v>官方品牌店；累计售300；库存200；2年保修信号</x:v>
      </x:c>
      <x:c r="I10" s="55" t="str">
        <x:v>通道更多、台式、价格低</x:v>
      </x:c>
      <x:c r="J10" s="55" t="str">
        <x:v>50Hz和供水待确认</x:v>
      </x:c>
      <x:c r="K10" s="57" t="n">
        <x:v>78.4</x:v>
      </x:c>
      <x:c r="L10" s="55" t="str">
        <x:v>API详情已锁SKU</x:v>
      </x:c>
      <x:c r="M10" s="58" t="str">
        <x:v>2026-08-28</x:v>
      </x:c>
      <x:c r="N10" s="55" t="e">
        <x:f>HYPERLINK("https://item.taobao.com/item.htm?id=565058058111","打开商品")</x:f>
        <x:v>HYPERLINK is not implemented. linkLocation=https://item.taobao.com/item.htm?id=565058058111, friendlyName=打开商品</x:v>
      </x:c>
    </x:row>
    <x:row r="11" ht="62" customHeight="1">
      <x:c r="A11" s="55" t="str">
        <x:v>入围·预评分</x:v>
      </x:c>
      <x:c r="B11" s="55" t="n">
        <x:v>5</x:v>
      </x:c>
      <x:c r="C11" s="55" t="str">
        <x:v>淘宝</x:v>
      </x:c>
      <x:c r="D11" s="55" t="str">
        <x:v>斯麦龙咖啡饮料机</x:v>
      </x:c>
      <x:c r="E11" s="55" t="str">
        <x:v>F301等配置族/待锁SKU</x:v>
      </x:c>
      <x:c r="F11" s="56"/>
      <x:c r="G11" s="55" t="str">
        <x:v>待锁定（用户观察低于¥2,480）</x:v>
      </x:c>
      <x:c r="H11" s="55" t="str">
        <x:v>斯麦龙旗舰店；厂家官网确认专业产品线</x:v>
      </x:c>
      <x:c r="I11" s="55" t="str">
        <x:v>专业咖啡饮料设备厂家、产品方向明确</x:v>
      </x:c>
      <x:c r="J11" s="55" t="str">
        <x:v>定向Actor免费运行次数耗尽；无商品ID和精确SKU价</x:v>
      </x:c>
      <x:c r="K11" s="57" t="n">
        <x:v>76.2</x:v>
      </x:c>
      <x:c r="L11" s="55" t="str">
        <x:v>Actor额度不足/待刷新</x:v>
      </x:c>
      <x:c r="M11" s="58" t="str">
        <x:v>2026-08-28</x:v>
      </x:c>
      <x:c r="N11" s="55" t="e">
        <x:f>HYPERLINK("https://s.taobao.com/search?q=%E6%96%AF%E9%BA%A6%E9%BE%99%20%E5%92%96%E5%95%A1%E9%A5%AE%E6%96%99%E6%9C%BA","打开商品")</x:f>
        <x:v>HYPERLINK is not implemented. linkLocation=https://s.taobao.com/search?q=%E6%96%AF%E9%BA%A6%E9%BE%99%20%E5%92%96%E5%95%A1%E9%A5%AE%E6%96%99%E6%9C%BA, friendlyName=打开商品</x:v>
      </x:c>
    </x:row>
    <x:row r="12" ht="62" customHeight="1">
      <x:c r="A12" s="55" t="str">
        <x:v>入围</x:v>
      </x:c>
      <x:c r="B12" s="55" t="n">
        <x:v>6</x:v>
      </x:c>
      <x:c r="C12" s="55" t="str">
        <x:v>1688</x:v>
      </x:c>
      <x:c r="D12" s="55" t="str">
        <x:v>东贝E-30SCW-8</x:v>
      </x:c>
      <x:c r="E12" s="55" t="str">
        <x:v>E-30SCW-8</x:v>
      </x:c>
      <x:c r="F12" s="56" t="n">
        <x:v>2475</x:v>
      </x:c>
      <x:c r="G12" s="55" t="str">
        <x:v>¥2,475</x:v>
      </x:c>
      <x:c r="H12" s="55" t="str">
        <x:v>工厂/诚信通；复购率47.34%；一年质保信号</x:v>
      </x:c>
      <x:c r="I12" s="55" t="str">
        <x:v>商用现调、多饮品方向</x:v>
      </x:c>
      <x:c r="J12" s="55" t="str">
        <x:v>前一日数据；SKU能力、电源和供水待确认</x:v>
      </x:c>
      <x:c r="K12" s="57" t="n">
        <x:v>75.6</x:v>
      </x:c>
      <x:c r="L12" s="55" t="str">
        <x:v>已锁定历史SKU</x:v>
      </x:c>
      <x:c r="M12" s="58" t="str">
        <x:v>2026-08-26</x:v>
      </x:c>
      <x:c r="N12" s="55" t="e">
        <x:f>HYPERLINK("https://detail.1688.com/offer/730288359108.html","打开商品")</x:f>
        <x:v>HYPERLINK is not implemented. linkLocation=https://detail.1688.com/offer/730288359108.html, friendlyName=打开商品</x:v>
      </x:c>
    </x:row>
    <x:row r="13" ht="62" customHeight="1">
      <x:c r="A13" s="55" t="str">
        <x:v>备选</x:v>
      </x:c>
      <x:c r="B13" s="55" t="n">
        <x:v>7</x:v>
      </x:c>
      <x:c r="C13" s="55" t="str">
        <x:v>淘宝</x:v>
      </x:c>
      <x:c r="D13" s="55" t="str">
        <x:v>巨阔全自动冷热饮料机</x:v>
      </x:c>
      <x:c r="E13" s="55" t="str">
        <x:v>公开索引未锁SKU</x:v>
      </x:c>
      <x:c r="F13" s="56" t="n">
        <x:v>1580</x:v>
      </x:c>
      <x:c r="G13" s="55" t="str">
        <x:v>公开索引价¥1,580</x:v>
      </x:c>
      <x:c r="H13" s="55" t="str">
        <x:v>蓝岛咖啡机品牌店；淘宝包邮信号</x:v>
      </x:c>
      <x:c r="I13" s="55" t="str">
        <x:v>速溶咖啡、奶茶、果汁、豆浆；价格低</x:v>
      </x:c>
      <x:c r="J13" s="55" t="str">
        <x:v>非API详情；具体SKU、电源和供水待核</x:v>
      </x:c>
      <x:c r="K13" s="57" t="n">
        <x:v>75.2</x:v>
      </x:c>
      <x:c r="L13" s="55" t="str">
        <x:v>公开索引/未锁SKU</x:v>
      </x:c>
      <x:c r="M13" s="58" t="str">
        <x:v>2026-08-28</x:v>
      </x:c>
      <x:c r="N13" s="55" t="e">
        <x:f>HYPERLINK("https://item.taobao.com/item.htm?id=567020025806","打开商品")</x:f>
        <x:v>HYPERLINK is not implemented. linkLocation=https://item.taobao.com/item.htm?id=567020025806, friendlyName=打开商品</x:v>
      </x:c>
    </x:row>
    <x:row r="14" ht="62" customHeight="1">
      <x:c r="A14" s="55" t="str">
        <x:v>备选·预评分</x:v>
      </x:c>
      <x:c r="B14" s="55" t="n">
        <x:v>8</x:v>
      </x:c>
      <x:c r="C14" s="55" t="str">
        <x:v>淘宝</x:v>
      </x:c>
      <x:c r="D14" s="55" t="str">
        <x:v>松崎京选速溶饮料机</x:v>
      </x:c>
      <x:c r="E14" s="55" t="str">
        <x:v>3热/3冷3热等配置族</x:v>
      </x:c>
      <x:c r="F14" s="56"/>
      <x:c r="G14" s="55" t="str">
        <x:v>待锁定（用户观察低于¥2,480）</x:v>
      </x:c>
      <x:c r="H14" s="55" t="str">
        <x:v>松崎京选旗舰店；公开页面显示多配置族</x:v>
      </x:c>
      <x:c r="I14" s="55" t="str">
        <x:v>台式/立式及冷热多饮品方向</x:v>
      </x:c>
      <x:c r="J14" s="55" t="str">
        <x:v>定向Actor免费运行次数耗尽；无商品ID和精确SKU价</x:v>
      </x:c>
      <x:c r="K14" s="57" t="n">
        <x:v>74.9</x:v>
      </x:c>
      <x:c r="L14" s="55" t="str">
        <x:v>Actor额度不足/待刷新</x:v>
      </x:c>
      <x:c r="M14" s="58" t="str">
        <x:v>2026-08-28</x:v>
      </x:c>
      <x:c r="N14" s="55" t="e">
        <x:f>HYPERLINK("https://s.taobao.com/search?q=%E6%9D%BE%E5%B4%8E%E4%BA%AC%E9%80%89%20%E5%92%96%E5%95%A1%E9%A5%AE%E6%96%99%E6%9C%BA","打开商品")</x:f>
        <x:v>HYPERLINK is not implemented. linkLocation=https://s.taobao.com/search?q=%E6%9D%BE%E5%B4%8E%E4%BA%AC%E9%80%89%20%E5%92%96%E5%95%A1%E9%A5%AE%E6%96%99%E6%9C%BA, friendlyName=打开商品</x:v>
      </x:c>
    </x:row>
    <x:row r="15" ht="62" customHeight="1">
      <x:c r="A15" s="55" t="str">
        <x:v>备选</x:v>
      </x:c>
      <x:c r="B15" s="55" t="n">
        <x:v>9</x:v>
      </x:c>
      <x:c r="C15" s="55" t="str">
        <x:v>Amazon德国</x:v>
      </x:c>
      <x:c r="D15" s="55" t="str">
        <x:v>De'Longhi ECAM22.110.B</x:v>
      </x:c>
      <x:c r="E15" s="55" t="str">
        <x:v>ECAM22.110.B</x:v>
      </x:c>
      <x:c r="F15" s="56" t="n">
        <x:v>2448</x:v>
      </x:c>
      <x:c r="G15" s="55" t="str">
        <x:v>€294.90</x:v>
      </x:c>
      <x:c r="H15" s="55" t="str">
        <x:v>4.4/5；54,618条评价；Amazon库存信号</x:v>
      </x:c>
      <x:c r="I15" s="55" t="str">
        <x:v>德国本地购买、物流简单、1.8L水箱</x:v>
      </x:c>
      <x:c r="J15" s="55" t="str">
        <x:v>非多通道饮料机；奶饮需人工操作</x:v>
      </x:c>
      <x:c r="K15" s="57" t="n">
        <x:v>74.3</x:v>
      </x:c>
      <x:c r="L15" s="55" t="str">
        <x:v>实时公开页</x:v>
      </x:c>
      <x:c r="M15" s="58" t="str">
        <x:v>2026-08-27</x:v>
      </x:c>
      <x:c r="N15" s="55" t="e">
        <x:f>HYPERLINK("https://www.amazon.de/DeLonghi-ECAM-22-110-B-Kaffeevollautomat-Milchaufsch%C3%A4umd%C3%BCse/dp/B00400OMU0","打开商品")</x:f>
        <x:v>HYPERLINK is not implemented. linkLocation=https://www.amazon.de/DeLonghi-ECAM-22-110-B-Kaffeevollautomat-Milchaufsch%C3%A4umd%C3%BCse/dp/B00400OMU0, friendlyName=打开商品</x:v>
      </x:c>
    </x:row>
    <x:row r="16" ht="62" customHeight="1">
      <x:c r="A16" s="55" t="str">
        <x:v>备选</x:v>
      </x:c>
      <x:c r="B16" s="55" t="n">
        <x:v>10</x:v>
      </x:c>
      <x:c r="C16" s="55" t="str">
        <x:v>Joybuy德国</x:v>
      </x:c>
      <x:c r="D16" s="55" t="str">
        <x:v>KRUPS Genio S Plus</x:v>
      </x:c>
      <x:c r="E16" s="55" t="str">
        <x:v>KP3408</x:v>
      </x:c>
      <x:c r="F16" s="56" t="n">
        <x:v>1079</x:v>
      </x:c>
      <x:c r="G16" s="55" t="str">
        <x:v>€129.99（€1≈¥8.30）</x:v>
      </x:c>
      <x:c r="H16" s="55" t="str">
        <x:v>30+售出；德国配送；2年制造商保修信号</x:v>
      </x:c>
      <x:c r="I16" s="55" t="str">
        <x:v>30+胶囊冷热饮、成本低</x:v>
      </x:c>
      <x:c r="J16" s="55" t="str">
        <x:v>家用机；0.8L水箱；高峰能力和耗材成本待核</x:v>
      </x:c>
      <x:c r="K16" s="57" t="n">
        <x:v>73.5</x:v>
      </x:c>
      <x:c r="L16" s="55" t="str">
        <x:v>历史页面观察</x:v>
      </x:c>
      <x:c r="M16" s="58" t="str">
        <x:v>2026-08-25</x:v>
      </x:c>
      <x:c r="N16" s="55" t="e">
        <x:f>HYPERLINK("https://m.joybuy.de/dp/krups-nescaf%C3%A9-dolce-gusto-genio-s/10388599","打开商品")</x:f>
        <x:v>HYPERLINK is not implemented. linkLocation=https://m.joybuy.de/dp/krups-nescaf%C3%A9-dolce-gusto-genio-s/10388599, friendlyName=打开商品</x:v>
      </x:c>
    </x:row>
    <x:row r="17" ht="62" customHeight="1">
      <x:c r="A17" s="55" t="str">
        <x:v>排除</x:v>
      </x:c>
      <x:c r="B17" s="55"/>
      <x:c r="C17" s="55" t="str">
        <x:v>GGM Gastro</x:v>
      </x:c>
      <x:c r="D17" s="55" t="str">
        <x:v>KVACB#SET2</x:v>
      </x:c>
      <x:c r="E17" s="55" t="str">
        <x:v>16程序+奶冰箱</x:v>
      </x:c>
      <x:c r="F17" s="56" t="n">
        <x:v>10687</x:v>
      </x:c>
      <x:c r="G17" s="55" t="str">
        <x:v>€1,287.57含税</x:v>
      </x:c>
      <x:c r="H17" s="55" t="str">
        <x:v>德国专业餐饮设备商</x:v>
      </x:c>
      <x:c r="I17" s="55" t="str">
        <x:v>16程序、德国本地履约</x:v>
      </x:c>
      <x:c r="J17" s="55" t="str">
        <x:v>超过¥10,000设备价硬上限</x:v>
      </x:c>
      <x:c r="K17" s="57"/>
      <x:c r="L17" s="55" t="str">
        <x:v>历史页面观察</x:v>
      </x:c>
      <x:c r="M17" s="58" t="str">
        <x:v>2026-08-26</x:v>
      </x:c>
      <x:c r="N17" s="55" t="e">
        <x:f>HYPERLINK("https://www.ggmgastro.com/de-de-eur/kaffeevollautomat-16-programme-5-zoll-touchscreen-inkl-milchkuehlschrank-kvacb-set2/querystring.channable%3D423d39736b75004b56414342235345543256","打开商品")</x:f>
        <x:v>HYPERLINK is not implemented. linkLocation=https://www.ggmgastro.com/de-de-eur/kaffeevollautomat-16-programme-5-zoll-touchscreen-inkl-milchkuehlschrank-kvacb-set2/querystring.channable%3D423d39736b75004b56414342235345543256, friendlyName=打开商品</x:v>
      </x:c>
    </x:row>
    <x:row r="18" ht="62" customHeight="1">
      <x:c r="A18" s="55" t="str">
        <x:v>排除</x:v>
      </x:c>
      <x:c r="B18" s="55"/>
      <x:c r="C18" s="55" t="str">
        <x:v>1688</x:v>
      </x:c>
      <x:c r="D18" s="55" t="str">
        <x:v>Coffelady AM7203</x:v>
      </x:c>
      <x:c r="E18" s="55" t="str">
        <x:v>AM7203</x:v>
      </x:c>
      <x:c r="F18" s="56" t="n">
        <x:v>1900</x:v>
      </x:c>
      <x:c r="G18" s="55" t="str">
        <x:v>搜索价¥1,900</x:v>
      </x:c>
      <x:c r="H18" s="55" t="str">
        <x:v>1688供应商信号</x:v>
      </x:c>
      <x:c r="I18" s="55" t="str">
        <x:v>价格看似低</x:v>
      </x:c>
      <x:c r="J18" s="55" t="str">
        <x:v>MOQ 200台；数量不兼容；偏咖啡机</x:v>
      </x:c>
      <x:c r="K18" s="57"/>
      <x:c r="L18" s="55" t="str">
        <x:v>搜索价/未锁SKU</x:v>
      </x:c>
      <x:c r="M18" s="58" t="str">
        <x:v>2026-08-26</x:v>
      </x:c>
      <x:c r="N18" s="55" t="e">
        <x:f>HYPERLINK("https://detail.1688.com/offer/872509673584.html","打开商品")</x:f>
        <x:v>HYPERLINK is not implemented. linkLocation=https://detail.1688.com/offer/872509673584.html, friendlyName=打开商品</x:v>
      </x:c>
    </x:row>
    <x:row r="19" ht="62" customHeight="1">
      <x:c r="A19" s="55" t="str">
        <x:v>排除</x:v>
      </x:c>
      <x:c r="B19" s="55"/>
      <x:c r="C19" s="55" t="str">
        <x:v>淘宝</x:v>
      </x:c>
      <x:c r="D19" s="55" t="str">
        <x:v>亿美科¥1,000展示项</x:v>
      </x:c>
      <x:c r="E19" s="55" t="str">
        <x:v>粉料套餐/非机器</x:v>
      </x:c>
      <x:c r="F19" s="56" t="n">
        <x:v>1000</x:v>
      </x:c>
      <x:c r="G19" s="55" t="str">
        <x:v>展示¥1,000</x:v>
      </x:c>
      <x:c r="H19" s="55" t="str">
        <x:v>淘宝商品页</x:v>
      </x:c>
      <x:c r="I19" s="55" t="str">
        <x:v>表面最低价</x:v>
      </x:c>
      <x:c r="J19" s="55" t="str">
        <x:v>¥1,000对应粉料套餐；机器SKU约¥1,410</x:v>
      </x:c>
      <x:c r="K19" s="57"/>
      <x:c r="L19" s="55" t="str">
        <x:v>诱饵展示价</x:v>
      </x:c>
      <x:c r="M19" s="58" t="str">
        <x:v>2026-08-26</x:v>
      </x:c>
      <x:c r="N19" s="55" t="e">
        <x:f>HYPERLINK("https://item.taobao.com/item.htm?id=837677146430","打开商品")</x:f>
        <x:v>HYPERLINK is not implemented. linkLocation=https://item.taobao.com/item.htm?id=837677146430, friendlyName=打开商品</x:v>
      </x:c>
    </x:row>
    <x:row r="20" ht="62" customHeight="1">
      <x:c r="A20" s="55" t="str">
        <x:v>排除</x:v>
      </x:c>
      <x:c r="B20" s="55"/>
      <x:c r="C20" s="55" t="str">
        <x:v>1688</x:v>
      </x:c>
      <x:c r="D20" s="55" t="str">
        <x:v>德玛仕饮料混合机</x:v>
      </x:c>
      <x:c r="E20" s="55" t="str">
        <x:v>多SKU区间</x:v>
      </x:c>
      <x:c r="F20" s="56" t="n">
        <x:v>1977.18</x:v>
      </x:c>
      <x:c r="G20" s="55" t="str">
        <x:v>¥1,977.18–2,889.14</x:v>
      </x:c>
      <x:c r="H20" s="55" t="str">
        <x:v>工厂、诚信通；复购率35.55%信号</x:v>
      </x:c>
      <x:c r="I20" s="55" t="str">
        <x:v>冷热饮料方向</x:v>
      </x:c>
      <x:c r="J20" s="55" t="str">
        <x:v>未确认能自动冲调咖啡，核心能力不足</x:v>
      </x:c>
      <x:c r="K20" s="57"/>
      <x:c r="L20" s="55" t="str">
        <x:v>区间价/能力未确认</x:v>
      </x:c>
      <x:c r="M20" s="58" t="str">
        <x:v>2026-08-26</x:v>
      </x:c>
      <x:c r="N20" s="55" t="e">
        <x:f>HYPERLINK("https://detail.1688.com/offer/902879994482.html","打开商品")</x:f>
        <x:v>HYPERLINK is not implemented. linkLocation=https://detail.1688.com/offer/902879994482.html, friendlyName=打开商品</x:v>
      </x:c>
    </x:row>
  </x:sheetData>
  <x:mergeCells>
    <x:mergeCell ref="A1:M1"/>
    <x:mergeCell ref="A2:M2"/>
    <x:mergeCell ref="A5:N5"/>
  </x:mergeCells>
  <x:conditionalFormatting sqref="A7:N15">
    <x:cfRule type="expression" dxfId="0" priority="1">
      <x:formula>$A7="排除"</x:formula>
    </x:cfRule>
    <x:cfRule type="expression" dxfId="1" priority="2">
      <x:formula>$A7="入围"</x:formula>
    </x:cfRule>
  </x:conditionalFormatting>
  <x:conditionalFormatting sqref="K7:K15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7:K20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7:N20">
    <x:cfRule type="expression" dxfId="5" priority="8">
      <x:formula>$A7="排除"</x:formula>
    </x:cfRule>
    <x:cfRule type="expression" dxfId="6" priority="9">
      <x:formula>LEFT($A7,2)="入围"</x:formula>
    </x:cfRule>
    <x:cfRule type="expression" dxfId="7" priority="10">
      <x:formula>ISNUMBER(SEARCH("预评分",$A7))</x:formula>
    </x:cfRule>
  </x:conditionalFormatting>
  <x:dataValidations count="2">
    <x:dataValidation type="list" sqref="A7:A15">
      <x:formula1>"入围,备选,排除"</x:formula1>
    </x:dataValidation>
    <x:dataValidation type="list" sqref="A7:A20">
      <x:formula1>"入围,入围·预评分,备选,备选·预评分,排除"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037eba67d049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1">
      <x:c r="A1" s="59" t="str">
        <x:v>人工审核与下单前确认</x:v>
      </x:c>
      <x:c r="B1" s="59"/>
      <x:c r="C1" s="59"/>
      <x:c r="D1" s="59"/>
      <x:c r="E1" s="59"/>
      <x:c r="F1" s="59"/>
    </x:row>
    <x:row r="3">
      <x:c r="A3" s="19" t="str">
        <x:v>项目</x:v>
      </x:c>
      <x:c r="B3" s="19" t="str">
        <x:v>当前结论</x:v>
      </x:c>
    </x:row>
    <x:row r="4" ht="42" customHeight="1">
      <x:c r="A4" s="51" t="str">
        <x:v>数量</x:v>
      </x:c>
      <x:c r="B4" s="51" t="str">
        <x:v>1台，已确认</x:v>
      </x:c>
    </x:row>
    <x:row r="5" ht="42" customHeight="1">
      <x:c r="A5" s="55" t="str">
        <x:v>预算</x:v>
      </x:c>
      <x:c r="B5" s="55" t="str">
        <x:v>设备价上限¥10,000；目标约¥5,000；中国至德国运输不计入本轮排名</x:v>
      </x:c>
    </x:row>
    <x:row r="6" ht="42" customHeight="1">
      <x:c r="A6" s="55" t="str">
        <x:v>电力</x:v>
      </x:c>
      <x:c r="B6" s="55" t="str">
        <x:v>基础30kW、已列负载26.2kW；另有20kW供咖啡机/触摸屏/高功率插座，具体回路待电工确认</x:v>
      </x:c>
    </x:row>
    <x:row r="7" ht="42" customHeight="1">
      <x:c r="A7" s="55" t="str">
        <x:v>插头</x:v>
      </x:c>
      <x:c r="B7" s="55" t="str">
        <x:v>可使用合规转接方案；230V/50Hz不能由普通转接头解决</x:v>
      </x:c>
    </x:row>
    <x:row r="8" ht="42" customHeight="1">
      <x:c r="A8" s="55" t="str">
        <x:v>仍需确认</x:v>
      </x:c>
      <x:c r="B8" s="55" t="str">
        <x:v>饮品菜单、冷热需求、额定功率、供水、深圳交期、包装重量、CE/食品接触材料</x:v>
      </x:c>
    </x:row>
    <x:row r="9" ht="42" customHeight="1">
      <x:c r="A9" s="62" t="str">
        <x:v>状态</x:v>
      </x:c>
      <x:c r="B9" s="62" t="str">
        <x:v>PARTIAL / SHORTLIST_ONLY；未联系商家</x:v>
      </x:c>
    </x:row>
  </x:sheetData>
  <x:mergeCells>
    <x:mergeCell ref="A1:F1"/>
  </x:mergeCells>
  <x:pageMargins left="0.7" right="0.7" top="0.75" bottom="0.75" header="0.3" footer="0.3"/>
</x:worksheet>
</file>